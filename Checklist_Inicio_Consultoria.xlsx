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p\Desktop\Kickoff\"/>
    </mc:Choice>
  </mc:AlternateContent>
  <xr:revisionPtr revIDLastSave="0" documentId="13_ncr:1_{230AAAE0-35CA-4A3F-B293-A09BA63A3476}" xr6:coauthVersionLast="47" xr6:coauthVersionMax="47" xr10:uidLastSave="{00000000-0000-0000-0000-000000000000}"/>
  <bookViews>
    <workbookView xWindow="28680" yWindow="-120" windowWidth="20730" windowHeight="11040" tabRatio="500" activeTab="1" xr2:uid="{00000000-000D-0000-FFFF-FFFF00000000}"/>
  </bookViews>
  <sheets>
    <sheet name="Checklist" sheetId="1" r:id="rId1"/>
    <sheet name="Primeiros 30 dias" sheetId="2" r:id="rId2"/>
  </sheets>
  <definedNames>
    <definedName name="_xlnm._FilterDatabase" localSheetId="0" hidden="1">Checklist!$A$7:$H$61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L16" i="1"/>
  <c r="K16" i="1"/>
  <c r="M16" i="1" s="1"/>
  <c r="L15" i="1"/>
  <c r="K15" i="1"/>
  <c r="M15" i="1" s="1"/>
  <c r="L14" i="1"/>
  <c r="K14" i="1"/>
  <c r="M14" i="1" s="1"/>
  <c r="L13" i="1"/>
  <c r="K13" i="1"/>
  <c r="M13" i="1" s="1"/>
  <c r="L12" i="1"/>
  <c r="K12" i="1"/>
  <c r="M12" i="1" s="1"/>
  <c r="L11" i="1"/>
  <c r="K11" i="1"/>
  <c r="M11" i="1" s="1"/>
  <c r="L10" i="1"/>
  <c r="K10" i="1"/>
  <c r="M10" i="1" s="1"/>
  <c r="L9" i="1"/>
  <c r="K9" i="1"/>
  <c r="M9" i="1" s="1"/>
  <c r="L8" i="1"/>
  <c r="K8" i="1"/>
  <c r="M8" i="1" s="1"/>
  <c r="C4" i="1"/>
  <c r="B4" i="1"/>
  <c r="B5" i="1" s="1"/>
</calcChain>
</file>

<file path=xl/sharedStrings.xml><?xml version="1.0" encoding="utf-8"?>
<sst xmlns="http://schemas.openxmlformats.org/spreadsheetml/2006/main" count="246" uniqueCount="115">
  <si>
    <t>Checklist – Início da Consultoria</t>
  </si>
  <si>
    <t>Na coluna Status, escolha ✔ Feito ao concluir. A data é sugerida, mas pode ser preenchida à mão.</t>
  </si>
  <si>
    <t>Concluídas</t>
  </si>
  <si>
    <t>Progresso</t>
  </si>
  <si>
    <t>Nº</t>
  </si>
  <si>
    <t>Ramo</t>
  </si>
  <si>
    <t>Etapa</t>
  </si>
  <si>
    <t>Detalhe</t>
  </si>
  <si>
    <t>Status</t>
  </si>
  <si>
    <t>Data de conclusão</t>
  </si>
  <si>
    <t>Prazo (meta)</t>
  </si>
  <si>
    <t>Observações</t>
  </si>
  <si>
    <t>Progresso por ramo</t>
  </si>
  <si>
    <t>Feitas</t>
  </si>
  <si>
    <t>Total</t>
  </si>
  <si>
    <t>%</t>
  </si>
  <si>
    <t>1. Posicionamento e marca</t>
  </si>
  <si>
    <t>Definir nicho</t>
  </si>
  <si>
    <t>Ex.: famílias empresárias, sócios de empresas médias, profissionais liberais</t>
  </si>
  <si>
    <t>Pendente</t>
  </si>
  <si>
    <t>Proposta de valor em 1 frase + pitch de 30 segundos</t>
  </si>
  <si>
    <t>2. Estrutura jurídica e regulatória</t>
  </si>
  <si>
    <t>Nome, logotipo simples e e-mail com domínio próprio</t>
  </si>
  <si>
    <t>3. Planilha de contatos (CRM)</t>
  </si>
  <si>
    <t>LinkedIn reposicionado</t>
  </si>
  <si>
    <t>Título, 'Sobre', banner e anúncio da nova fase</t>
  </si>
  <si>
    <t>4. Planilha de parceiros</t>
  </si>
  <si>
    <t>One-pager (PDF de 1 página) para parceiros</t>
  </si>
  <si>
    <t>5. Oferta e precificação</t>
  </si>
  <si>
    <t>Apresentação institucional (8 a 10 slides)</t>
  </si>
  <si>
    <t>6. Prospecção e funil</t>
  </si>
  <si>
    <t>Site ou página simples com link de agendamento</t>
  </si>
  <si>
    <t>7. Processo de entrega</t>
  </si>
  <si>
    <t>Revisar contrato de saída do escritório anterior</t>
  </si>
  <si>
    <t>Não concorrência, não aliciamento, confidencialidade</t>
  </si>
  <si>
    <t>8. Ferramentas</t>
  </si>
  <si>
    <t>Incluir CNAE de consultoria no CNPJ</t>
  </si>
  <si>
    <t>Hoje só há 66.22-3-00 (corretagem de seguros). Validar com contador</t>
  </si>
  <si>
    <t>9. Finanças do negócio</t>
  </si>
  <si>
    <t>Validar regime tributário com contador</t>
  </si>
  <si>
    <t>Contrato-padrão de prestação de serviços ao cliente</t>
  </si>
  <si>
    <t>Contrato de parceria e indicação</t>
  </si>
  <si>
    <t>Minuta já preparada</t>
  </si>
  <si>
    <t>Termo de confidencialidade (NDA)</t>
  </si>
  <si>
    <t>Política de privacidade / LGPD</t>
  </si>
  <si>
    <t>Seguro de responsabilidade civil profissional</t>
  </si>
  <si>
    <t>Certificações e registros</t>
  </si>
  <si>
    <t>CFP (Planejar); avaliar necessidade de registro CVM</t>
  </si>
  <si>
    <t>Planilha criada</t>
  </si>
  <si>
    <t>Arquivo Planilhas_Contatos_e_Parceiros.xlsx</t>
  </si>
  <si>
    <t>Importar contatos do LinkedIn, celular e e-mail</t>
  </si>
  <si>
    <t>Classificar contatos por temperatura e potencial</t>
  </si>
  <si>
    <t>Instituir revisão semanal (segunda-feira)</t>
  </si>
  <si>
    <t>Mapear advogados de família e sucessões</t>
  </si>
  <si>
    <t>Mapear tributaristas e societaristas</t>
  </si>
  <si>
    <t>Mapear contadores de empresas familiares</t>
  </si>
  <si>
    <t>Mapear assessores, private banks e family offices</t>
  </si>
  <si>
    <t>Mapear corretores de seguros</t>
  </si>
  <si>
    <t>Mapear tabeliães</t>
  </si>
  <si>
    <t>Mapear avaliadores de empresas e imóveis</t>
  </si>
  <si>
    <t>Mapear mediadores / governança familiar</t>
  </si>
  <si>
    <t>Desenhar diagnóstico patrimonial (porta de entrada)</t>
  </si>
  <si>
    <t>Desenhar projeto de estruturação</t>
  </si>
  <si>
    <t>Holding, doação, testamento, previdência, seguros</t>
  </si>
  <si>
    <t>Desenhar serviço de governança / protocolo familiar</t>
  </si>
  <si>
    <t>Desenhar acompanhamento anual (recorrência)</t>
  </si>
  <si>
    <t>Definir modelos de cobrança</t>
  </si>
  <si>
    <t>Projeto, mensalidade, % patrimônio, indicação</t>
  </si>
  <si>
    <t>Modelo de proposta comercial</t>
  </si>
  <si>
    <t>Definir etapas do funil</t>
  </si>
  <si>
    <t>Lead → Contato → Reunião → Diagnóstico → Proposta → Fechado</t>
  </si>
  <si>
    <t>Lista dos 50 primeiros contatos</t>
  </si>
  <si>
    <t>Roteiros de mensagem</t>
  </si>
  <si>
    <t>Anúncio, convite para café, pedido de indicação</t>
  </si>
  <si>
    <t>Definir cadência semanal</t>
  </si>
  <si>
    <t>Ex.: 10 contatos novos + 2 cafés com parceiros</t>
  </si>
  <si>
    <t>Conteúdo no LinkedIn (1 a 2 posts/semana)</t>
  </si>
  <si>
    <t>Agenda de eventos (associações, OAB, CRC, palestras)</t>
  </si>
  <si>
    <t>Questionário de descoberta</t>
  </si>
  <si>
    <t>Checklist de documentos do cliente</t>
  </si>
  <si>
    <t>Modelo de mapa patrimonial e árvore familiar</t>
  </si>
  <si>
    <t>Simulador de custo de inventário vs. planejamento</t>
  </si>
  <si>
    <t>ITCMD, honorários, custas</t>
  </si>
  <si>
    <t>Modelo de relatório final</t>
  </si>
  <si>
    <t>E-mail e agenda profissionais + link de agendamento</t>
  </si>
  <si>
    <t>CRM (planilha agora, sistema depois)</t>
  </si>
  <si>
    <t>Armazenamento seguro de documentos</t>
  </si>
  <si>
    <t>Assinatura eletrônica</t>
  </si>
  <si>
    <t>Emissão de nota fiscal e conta PJ</t>
  </si>
  <si>
    <t>Reserva pessoal para 6 a 12 meses</t>
  </si>
  <si>
    <t>Meta de faturamento e nº de clientes/mês</t>
  </si>
  <si>
    <t>Planilha de receitas e despesas da PJ</t>
  </si>
  <si>
    <t>Pró-labore definido e separação PF / PJ</t>
  </si>
  <si>
    <t>Primeiros 30 dias</t>
  </si>
  <si>
    <t>Ordem prática para começar. Marque ✔ Feito na coluna Status.</t>
  </si>
  <si>
    <t>Semana</t>
  </si>
  <si>
    <t>Tarefa</t>
  </si>
  <si>
    <t>Semana 1</t>
  </si>
  <si>
    <t>Revisar contrato de saída</t>
  </si>
  <si>
    <t>Definir nicho e frase de posicionamento</t>
  </si>
  <si>
    <t>Preencher planilha de contatos</t>
  </si>
  <si>
    <t>Pedir ao contador inclusão de CNAE de consultoria</t>
  </si>
  <si>
    <t>Semana 2</t>
  </si>
  <si>
    <t>Preencher planilha de parceiros</t>
  </si>
  <si>
    <t>Atualizar LinkedIn e anunciar a nova fase</t>
  </si>
  <si>
    <t>Revisar contrato de parceria com advogado</t>
  </si>
  <si>
    <t>Semana 3</t>
  </si>
  <si>
    <t>Criar one-pager e apresentação</t>
  </si>
  <si>
    <t>Desenhar oferta e preços</t>
  </si>
  <si>
    <t>Primeiros 5 cafés com parceiros</t>
  </si>
  <si>
    <t>Semana 4</t>
  </si>
  <si>
    <t>Contratos-padrão prontos e assinados com 1º parceiro</t>
  </si>
  <si>
    <t>Questionário de diagnóstico</t>
  </si>
  <si>
    <t>Abordar os 20 contatos mais quentes</t>
  </si>
  <si>
    <t>✔ 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</si>
</sst>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5C4A"/>
      <name val="Arial"/>
      <charset val="1"/>
    </font>
    <font>
      <sz val="10"/>
      <color rgb="FF5D6B64"/>
      <name val="Arial"/>
      <charset val="1"/>
    </font>
    <font>
      <b/>
      <sz val="10"/>
      <name val="Arial"/>
      <charset val="1"/>
    </font>
    <font>
      <b/>
      <sz val="12"/>
      <color rgb="FF1F5C4A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1F5C4A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5C4A"/>
        <bgColor rgb="FF5D6B64"/>
      </patternFill>
    </fill>
    <fill>
      <patternFill patternType="solid">
        <fgColor rgb="FFFFF8E1"/>
        <bgColor rgb="FFFFF3CD"/>
      </patternFill>
    </fill>
  </fills>
  <borders count="2">
    <border>
      <left/>
      <right/>
      <top/>
      <bottom/>
      <diagonal/>
    </border>
    <border>
      <left style="thin">
        <color rgb="FFD3DBD5"/>
      </left>
      <right style="thin">
        <color rgb="FFD3DBD5"/>
      </right>
      <top style="thin">
        <color rgb="FFD3DBD5"/>
      </top>
      <bottom style="thin">
        <color rgb="FFD3DBD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14" fontId="6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/>
    <xf numFmtId="9" fontId="6" fillId="0" borderId="1" xfId="0" applyNumberFormat="1" applyFont="1" applyBorder="1"/>
    <xf numFmtId="0" fontId="7" fillId="0" borderId="0" xfId="0" applyFont="1"/>
  </cellXfs>
  <cellStyles count="1">
    <cellStyle name="Normal" xfId="0" builtinId="0"/>
  </cellStyles>
  <dxfs count="5">
    <dxf>
      <font>
        <strike/>
        <color rgb="FF5D6B64"/>
        <name val="Arial"/>
        <charset val="1"/>
      </font>
      <fill>
        <patternFill>
          <bgColor rgb="FFD8EDE4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ont>
        <color rgb="FFA0A0A0"/>
        <name val="Arial"/>
        <charset val="1"/>
      </font>
    </dxf>
    <dxf>
      <font>
        <strike/>
        <color rgb="FF5D6B64"/>
        <name val="Arial"/>
        <charset val="1"/>
      </font>
      <fill>
        <patternFill>
          <bgColor rgb="FFD8ED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3DB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DE4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D6B64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1F5C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showGridLines="0" zoomScaleNormal="100" workbookViewId="0">
      <pane xSplit="3" ySplit="7" topLeftCell="D44" activePane="bottomRight" state="frozen"/>
      <selection pane="topRight" activeCell="D1" sqref="D1"/>
      <selection pane="bottomLeft" activeCell="A8" sqref="A8"/>
      <selection pane="bottomRight" activeCell="E25" sqref="E25"/>
    </sheetView>
  </sheetViews>
  <sheetFormatPr defaultColWidth="8.6328125" defaultRowHeight="14.5" x14ac:dyDescent="0.35"/>
  <cols>
    <col min="1" max="1" width="6" customWidth="1"/>
    <col min="2" max="2" width="30" customWidth="1"/>
    <col min="3" max="3" width="48" customWidth="1"/>
    <col min="4" max="4" width="46" customWidth="1"/>
    <col min="5" max="6" width="15" customWidth="1"/>
    <col min="7" max="7" width="13" customWidth="1"/>
    <col min="8" max="8" width="34" customWidth="1"/>
    <col min="9" max="9" width="3" customWidth="1"/>
    <col min="10" max="10" width="34" customWidth="1"/>
    <col min="11" max="13" width="9" customWidth="1"/>
  </cols>
  <sheetData>
    <row r="1" spans="1:13" ht="18" x14ac:dyDescent="0.4">
      <c r="A1" s="1" t="s">
        <v>0</v>
      </c>
    </row>
    <row r="2" spans="1:13" x14ac:dyDescent="0.35">
      <c r="A2" s="2" t="s">
        <v>1</v>
      </c>
    </row>
    <row r="4" spans="1:13" ht="15.5" x14ac:dyDescent="0.35">
      <c r="A4" s="3" t="s">
        <v>2</v>
      </c>
      <c r="B4" s="4">
        <f>COUNTIF($E$8:$E$61,"✔ Feito")</f>
        <v>9</v>
      </c>
      <c r="C4" s="4" t="str">
        <f>"de "&amp;COUNTA($C$8:$C$61)&amp;" etapas"</f>
        <v>de 54 etapas</v>
      </c>
    </row>
    <row r="5" spans="1:13" ht="15.5" x14ac:dyDescent="0.35">
      <c r="A5" s="3" t="s">
        <v>3</v>
      </c>
      <c r="B5" s="5">
        <f>B4/COUNTA($C$8:$C$61)</f>
        <v>0.16666666666666666</v>
      </c>
    </row>
    <row r="7" spans="1:13" ht="31.5" customHeight="1" x14ac:dyDescent="0.35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J7" s="7" t="s">
        <v>12</v>
      </c>
      <c r="K7" s="7" t="s">
        <v>13</v>
      </c>
      <c r="L7" s="7" t="s">
        <v>14</v>
      </c>
      <c r="M7" s="7" t="s">
        <v>15</v>
      </c>
    </row>
    <row r="8" spans="1:13" ht="25" x14ac:dyDescent="0.35">
      <c r="A8" s="8">
        <v>1</v>
      </c>
      <c r="B8" s="9" t="s">
        <v>16</v>
      </c>
      <c r="C8" s="9" t="s">
        <v>17</v>
      </c>
      <c r="D8" s="9" t="s">
        <v>18</v>
      </c>
      <c r="E8" s="10" t="s">
        <v>114</v>
      </c>
      <c r="F8" s="11"/>
      <c r="G8" s="11"/>
      <c r="H8" s="12"/>
      <c r="J8" s="13" t="s">
        <v>16</v>
      </c>
      <c r="K8" s="13">
        <f t="shared" ref="K8:K16" si="0">COUNTIFS($B$8:$B$61,J8,$E$8:$E$61,"✔ Feito")</f>
        <v>2</v>
      </c>
      <c r="L8" s="13">
        <f t="shared" ref="L8:L16" si="1">COUNTIF($B$8:$B$61,J8)</f>
        <v>7</v>
      </c>
      <c r="M8" s="14">
        <f t="shared" ref="M8:M16" si="2">IFERROR(K8/L8,0)</f>
        <v>0.2857142857142857</v>
      </c>
    </row>
    <row r="9" spans="1:13" x14ac:dyDescent="0.35">
      <c r="A9" s="8">
        <v>2</v>
      </c>
      <c r="B9" s="9" t="s">
        <v>16</v>
      </c>
      <c r="C9" s="9" t="s">
        <v>20</v>
      </c>
      <c r="D9" s="9"/>
      <c r="E9" s="10" t="s">
        <v>19</v>
      </c>
      <c r="F9" s="11"/>
      <c r="G9" s="11"/>
      <c r="H9" s="12"/>
      <c r="J9" s="13" t="s">
        <v>21</v>
      </c>
      <c r="K9" s="13">
        <f t="shared" si="0"/>
        <v>1</v>
      </c>
      <c r="L9" s="13">
        <f t="shared" si="1"/>
        <v>9</v>
      </c>
      <c r="M9" s="14">
        <f t="shared" si="2"/>
        <v>0.1111111111111111</v>
      </c>
    </row>
    <row r="10" spans="1:13" x14ac:dyDescent="0.35">
      <c r="A10" s="8">
        <v>3</v>
      </c>
      <c r="B10" s="9" t="s">
        <v>16</v>
      </c>
      <c r="C10" s="9" t="s">
        <v>22</v>
      </c>
      <c r="D10" s="9"/>
      <c r="E10" s="10" t="s">
        <v>114</v>
      </c>
      <c r="F10" s="11"/>
      <c r="G10" s="11"/>
      <c r="H10" s="12"/>
      <c r="J10" s="13" t="s">
        <v>23</v>
      </c>
      <c r="K10" s="13">
        <f t="shared" si="0"/>
        <v>2</v>
      </c>
      <c r="L10" s="13">
        <f t="shared" si="1"/>
        <v>4</v>
      </c>
      <c r="M10" s="14">
        <f t="shared" si="2"/>
        <v>0.5</v>
      </c>
    </row>
    <row r="11" spans="1:13" x14ac:dyDescent="0.35">
      <c r="A11" s="8">
        <v>4</v>
      </c>
      <c r="B11" s="9" t="s">
        <v>16</v>
      </c>
      <c r="C11" s="9" t="s">
        <v>24</v>
      </c>
      <c r="D11" s="9" t="s">
        <v>25</v>
      </c>
      <c r="E11" s="10" t="s">
        <v>19</v>
      </c>
      <c r="F11" s="11"/>
      <c r="G11" s="11"/>
      <c r="H11" s="12"/>
      <c r="J11" s="13" t="s">
        <v>26</v>
      </c>
      <c r="K11" s="13">
        <f t="shared" si="0"/>
        <v>0</v>
      </c>
      <c r="L11" s="13">
        <f t="shared" si="1"/>
        <v>8</v>
      </c>
      <c r="M11" s="14">
        <f t="shared" si="2"/>
        <v>0</v>
      </c>
    </row>
    <row r="12" spans="1:13" x14ac:dyDescent="0.35">
      <c r="A12" s="8">
        <v>5</v>
      </c>
      <c r="B12" s="9" t="s">
        <v>16</v>
      </c>
      <c r="C12" s="9" t="s">
        <v>27</v>
      </c>
      <c r="D12" s="9"/>
      <c r="E12" s="10" t="s">
        <v>19</v>
      </c>
      <c r="F12" s="11"/>
      <c r="G12" s="11"/>
      <c r="H12" s="12"/>
      <c r="J12" s="13" t="s">
        <v>28</v>
      </c>
      <c r="K12" s="13">
        <f t="shared" si="0"/>
        <v>0</v>
      </c>
      <c r="L12" s="13">
        <f t="shared" si="1"/>
        <v>6</v>
      </c>
      <c r="M12" s="14">
        <f t="shared" si="2"/>
        <v>0</v>
      </c>
    </row>
    <row r="13" spans="1:13" x14ac:dyDescent="0.35">
      <c r="A13" s="8">
        <v>6</v>
      </c>
      <c r="B13" s="9" t="s">
        <v>16</v>
      </c>
      <c r="C13" s="9" t="s">
        <v>29</v>
      </c>
      <c r="D13" s="9"/>
      <c r="E13" s="10" t="s">
        <v>19</v>
      </c>
      <c r="F13" s="11"/>
      <c r="G13" s="11"/>
      <c r="H13" s="12"/>
      <c r="J13" s="13" t="s">
        <v>30</v>
      </c>
      <c r="K13" s="13">
        <f t="shared" si="0"/>
        <v>0</v>
      </c>
      <c r="L13" s="13">
        <f t="shared" si="1"/>
        <v>6</v>
      </c>
      <c r="M13" s="14">
        <f t="shared" si="2"/>
        <v>0</v>
      </c>
    </row>
    <row r="14" spans="1:13" x14ac:dyDescent="0.35">
      <c r="A14" s="8">
        <v>7</v>
      </c>
      <c r="B14" s="9" t="s">
        <v>16</v>
      </c>
      <c r="C14" s="9" t="s">
        <v>31</v>
      </c>
      <c r="D14" s="9"/>
      <c r="E14" s="10" t="s">
        <v>19</v>
      </c>
      <c r="F14" s="11"/>
      <c r="G14" s="11"/>
      <c r="H14" s="12"/>
      <c r="J14" s="13" t="s">
        <v>32</v>
      </c>
      <c r="K14" s="13">
        <f t="shared" si="0"/>
        <v>0</v>
      </c>
      <c r="L14" s="13">
        <f t="shared" si="1"/>
        <v>5</v>
      </c>
      <c r="M14" s="14">
        <f t="shared" si="2"/>
        <v>0</v>
      </c>
    </row>
    <row r="15" spans="1:13" x14ac:dyDescent="0.35">
      <c r="A15" s="8">
        <v>8</v>
      </c>
      <c r="B15" s="9" t="s">
        <v>21</v>
      </c>
      <c r="C15" s="9" t="s">
        <v>33</v>
      </c>
      <c r="D15" s="9" t="s">
        <v>34</v>
      </c>
      <c r="E15" s="10" t="s">
        <v>19</v>
      </c>
      <c r="F15" s="11"/>
      <c r="G15" s="11"/>
      <c r="H15" s="12"/>
      <c r="J15" s="13" t="s">
        <v>35</v>
      </c>
      <c r="K15" s="13">
        <f t="shared" si="0"/>
        <v>4</v>
      </c>
      <c r="L15" s="13">
        <f t="shared" si="1"/>
        <v>5</v>
      </c>
      <c r="M15" s="14">
        <f t="shared" si="2"/>
        <v>0.8</v>
      </c>
    </row>
    <row r="16" spans="1:13" ht="25" x14ac:dyDescent="0.35">
      <c r="A16" s="8">
        <v>9</v>
      </c>
      <c r="B16" s="9" t="s">
        <v>21</v>
      </c>
      <c r="C16" s="9" t="s">
        <v>36</v>
      </c>
      <c r="D16" s="9" t="s">
        <v>37</v>
      </c>
      <c r="E16" s="10" t="s">
        <v>19</v>
      </c>
      <c r="F16" s="11"/>
      <c r="G16" s="11"/>
      <c r="H16" s="12"/>
      <c r="J16" s="13" t="s">
        <v>38</v>
      </c>
      <c r="K16" s="13">
        <f t="shared" si="0"/>
        <v>0</v>
      </c>
      <c r="L16" s="13">
        <f t="shared" si="1"/>
        <v>4</v>
      </c>
      <c r="M16" s="14">
        <f t="shared" si="2"/>
        <v>0</v>
      </c>
    </row>
    <row r="17" spans="1:8" x14ac:dyDescent="0.35">
      <c r="A17" s="8">
        <v>10</v>
      </c>
      <c r="B17" s="9" t="s">
        <v>21</v>
      </c>
      <c r="C17" s="9" t="s">
        <v>39</v>
      </c>
      <c r="D17" s="9"/>
      <c r="E17" s="10" t="s">
        <v>19</v>
      </c>
      <c r="F17" s="11"/>
      <c r="G17" s="11"/>
      <c r="H17" s="12"/>
    </row>
    <row r="18" spans="1:8" x14ac:dyDescent="0.35">
      <c r="A18" s="8">
        <v>11</v>
      </c>
      <c r="B18" s="9" t="s">
        <v>21</v>
      </c>
      <c r="C18" s="9" t="s">
        <v>40</v>
      </c>
      <c r="D18" s="9"/>
      <c r="E18" s="10" t="s">
        <v>19</v>
      </c>
      <c r="F18" s="11"/>
      <c r="G18" s="11"/>
      <c r="H18" s="12"/>
    </row>
    <row r="19" spans="1:8" x14ac:dyDescent="0.35">
      <c r="A19" s="8">
        <v>12</v>
      </c>
      <c r="B19" s="9" t="s">
        <v>21</v>
      </c>
      <c r="C19" s="9" t="s">
        <v>41</v>
      </c>
      <c r="D19" s="9" t="s">
        <v>42</v>
      </c>
      <c r="E19" s="10" t="s">
        <v>19</v>
      </c>
      <c r="F19" s="11"/>
      <c r="G19" s="11"/>
      <c r="H19" s="12"/>
    </row>
    <row r="20" spans="1:8" x14ac:dyDescent="0.35">
      <c r="A20" s="8">
        <v>13</v>
      </c>
      <c r="B20" s="9" t="s">
        <v>21</v>
      </c>
      <c r="C20" s="9" t="s">
        <v>43</v>
      </c>
      <c r="D20" s="9"/>
      <c r="E20" s="10" t="s">
        <v>19</v>
      </c>
      <c r="F20" s="11"/>
      <c r="G20" s="11"/>
      <c r="H20" s="12"/>
    </row>
    <row r="21" spans="1:8" x14ac:dyDescent="0.35">
      <c r="A21" s="8">
        <v>14</v>
      </c>
      <c r="B21" s="9" t="s">
        <v>21</v>
      </c>
      <c r="C21" s="9" t="s">
        <v>44</v>
      </c>
      <c r="D21" s="9"/>
      <c r="E21" s="10" t="s">
        <v>19</v>
      </c>
      <c r="F21" s="11"/>
      <c r="G21" s="11"/>
      <c r="H21" s="12"/>
    </row>
    <row r="22" spans="1:8" x14ac:dyDescent="0.35">
      <c r="A22" s="8">
        <v>15</v>
      </c>
      <c r="B22" s="9" t="s">
        <v>21</v>
      </c>
      <c r="C22" s="9" t="s">
        <v>45</v>
      </c>
      <c r="D22" s="9"/>
      <c r="E22" s="10" t="s">
        <v>19</v>
      </c>
      <c r="F22" s="11"/>
      <c r="G22" s="11"/>
      <c r="H22" s="12"/>
    </row>
    <row r="23" spans="1:8" x14ac:dyDescent="0.35">
      <c r="A23" s="8">
        <v>16</v>
      </c>
      <c r="B23" s="9" t="s">
        <v>21</v>
      </c>
      <c r="C23" s="9" t="s">
        <v>46</v>
      </c>
      <c r="D23" s="9" t="s">
        <v>47</v>
      </c>
      <c r="E23" s="10" t="s">
        <v>114</v>
      </c>
      <c r="F23" s="11"/>
      <c r="G23" s="11"/>
      <c r="H23" s="12"/>
    </row>
    <row r="24" spans="1:8" x14ac:dyDescent="0.35">
      <c r="A24" s="8">
        <v>17</v>
      </c>
      <c r="B24" s="9" t="s">
        <v>23</v>
      </c>
      <c r="C24" s="9" t="s">
        <v>48</v>
      </c>
      <c r="D24" s="9" t="s">
        <v>49</v>
      </c>
      <c r="E24" s="10" t="s">
        <v>114</v>
      </c>
      <c r="F24" s="11"/>
      <c r="G24" s="11"/>
      <c r="H24" s="12"/>
    </row>
    <row r="25" spans="1:8" x14ac:dyDescent="0.35">
      <c r="A25" s="8">
        <v>18</v>
      </c>
      <c r="B25" s="9" t="s">
        <v>23</v>
      </c>
      <c r="C25" s="9" t="s">
        <v>50</v>
      </c>
      <c r="D25" s="9"/>
      <c r="E25" s="10" t="s">
        <v>114</v>
      </c>
      <c r="F25" s="11"/>
      <c r="G25" s="11"/>
      <c r="H25" s="12"/>
    </row>
    <row r="26" spans="1:8" x14ac:dyDescent="0.35">
      <c r="A26" s="8">
        <v>19</v>
      </c>
      <c r="B26" s="9" t="s">
        <v>23</v>
      </c>
      <c r="C26" s="9" t="s">
        <v>51</v>
      </c>
      <c r="D26" s="9"/>
      <c r="E26" s="10" t="s">
        <v>19</v>
      </c>
      <c r="F26" s="11"/>
      <c r="G26" s="11"/>
      <c r="H26" s="12"/>
    </row>
    <row r="27" spans="1:8" x14ac:dyDescent="0.35">
      <c r="A27" s="8">
        <v>20</v>
      </c>
      <c r="B27" s="9" t="s">
        <v>23</v>
      </c>
      <c r="C27" s="9" t="s">
        <v>52</v>
      </c>
      <c r="D27" s="9"/>
      <c r="E27" s="10" t="s">
        <v>19</v>
      </c>
      <c r="F27" s="11"/>
      <c r="G27" s="11"/>
      <c r="H27" s="12"/>
    </row>
    <row r="28" spans="1:8" x14ac:dyDescent="0.35">
      <c r="A28" s="8">
        <v>21</v>
      </c>
      <c r="B28" s="9" t="s">
        <v>26</v>
      </c>
      <c r="C28" s="9" t="s">
        <v>53</v>
      </c>
      <c r="D28" s="9"/>
      <c r="E28" s="10" t="s">
        <v>19</v>
      </c>
      <c r="F28" s="11"/>
      <c r="G28" s="11"/>
      <c r="H28" s="12"/>
    </row>
    <row r="29" spans="1:8" x14ac:dyDescent="0.35">
      <c r="A29" s="8">
        <v>22</v>
      </c>
      <c r="B29" s="9" t="s">
        <v>26</v>
      </c>
      <c r="C29" s="9" t="s">
        <v>54</v>
      </c>
      <c r="D29" s="9"/>
      <c r="E29" s="10" t="s">
        <v>19</v>
      </c>
      <c r="F29" s="11"/>
      <c r="G29" s="11"/>
      <c r="H29" s="12"/>
    </row>
    <row r="30" spans="1:8" x14ac:dyDescent="0.35">
      <c r="A30" s="8">
        <v>23</v>
      </c>
      <c r="B30" s="9" t="s">
        <v>26</v>
      </c>
      <c r="C30" s="9" t="s">
        <v>55</v>
      </c>
      <c r="D30" s="9"/>
      <c r="E30" s="10" t="s">
        <v>19</v>
      </c>
      <c r="F30" s="11"/>
      <c r="G30" s="11"/>
      <c r="H30" s="12"/>
    </row>
    <row r="31" spans="1:8" x14ac:dyDescent="0.35">
      <c r="A31" s="8">
        <v>24</v>
      </c>
      <c r="B31" s="9" t="s">
        <v>26</v>
      </c>
      <c r="C31" s="9" t="s">
        <v>56</v>
      </c>
      <c r="D31" s="9"/>
      <c r="E31" s="10" t="s">
        <v>19</v>
      </c>
      <c r="F31" s="11"/>
      <c r="G31" s="11"/>
      <c r="H31" s="12"/>
    </row>
    <row r="32" spans="1:8" x14ac:dyDescent="0.35">
      <c r="A32" s="8">
        <v>25</v>
      </c>
      <c r="B32" s="9" t="s">
        <v>26</v>
      </c>
      <c r="C32" s="9" t="s">
        <v>57</v>
      </c>
      <c r="D32" s="9"/>
      <c r="E32" s="10" t="s">
        <v>19</v>
      </c>
      <c r="F32" s="11"/>
      <c r="G32" s="11"/>
      <c r="H32" s="12"/>
    </row>
    <row r="33" spans="1:8" x14ac:dyDescent="0.35">
      <c r="A33" s="8">
        <v>26</v>
      </c>
      <c r="B33" s="9" t="s">
        <v>26</v>
      </c>
      <c r="C33" s="9" t="s">
        <v>58</v>
      </c>
      <c r="D33" s="9"/>
      <c r="E33" s="10" t="s">
        <v>19</v>
      </c>
      <c r="F33" s="11"/>
      <c r="G33" s="11"/>
      <c r="H33" s="12"/>
    </row>
    <row r="34" spans="1:8" x14ac:dyDescent="0.35">
      <c r="A34" s="8">
        <v>27</v>
      </c>
      <c r="B34" s="9" t="s">
        <v>26</v>
      </c>
      <c r="C34" s="9" t="s">
        <v>59</v>
      </c>
      <c r="D34" s="9"/>
      <c r="E34" s="10" t="s">
        <v>19</v>
      </c>
      <c r="F34" s="11"/>
      <c r="G34" s="11"/>
      <c r="H34" s="12"/>
    </row>
    <row r="35" spans="1:8" x14ac:dyDescent="0.35">
      <c r="A35" s="8">
        <v>28</v>
      </c>
      <c r="B35" s="9" t="s">
        <v>26</v>
      </c>
      <c r="C35" s="9" t="s">
        <v>60</v>
      </c>
      <c r="D35" s="9"/>
      <c r="E35" s="10" t="s">
        <v>19</v>
      </c>
      <c r="F35" s="11"/>
      <c r="G35" s="11"/>
      <c r="H35" s="12"/>
    </row>
    <row r="36" spans="1:8" x14ac:dyDescent="0.35">
      <c r="A36" s="8">
        <v>29</v>
      </c>
      <c r="B36" s="9" t="s">
        <v>28</v>
      </c>
      <c r="C36" s="9" t="s">
        <v>61</v>
      </c>
      <c r="D36" s="9"/>
      <c r="E36" s="10" t="s">
        <v>19</v>
      </c>
      <c r="F36" s="11"/>
      <c r="G36" s="11"/>
      <c r="H36" s="12"/>
    </row>
    <row r="37" spans="1:8" x14ac:dyDescent="0.35">
      <c r="A37" s="8">
        <v>30</v>
      </c>
      <c r="B37" s="9" t="s">
        <v>28</v>
      </c>
      <c r="C37" s="9" t="s">
        <v>62</v>
      </c>
      <c r="D37" s="9" t="s">
        <v>63</v>
      </c>
      <c r="E37" s="10" t="s">
        <v>19</v>
      </c>
      <c r="F37" s="11"/>
      <c r="G37" s="11"/>
      <c r="H37" s="12"/>
    </row>
    <row r="38" spans="1:8" x14ac:dyDescent="0.35">
      <c r="A38" s="8">
        <v>31</v>
      </c>
      <c r="B38" s="9" t="s">
        <v>28</v>
      </c>
      <c r="C38" s="9" t="s">
        <v>64</v>
      </c>
      <c r="D38" s="9"/>
      <c r="E38" s="10" t="s">
        <v>19</v>
      </c>
      <c r="F38" s="11"/>
      <c r="G38" s="11"/>
      <c r="H38" s="12"/>
    </row>
    <row r="39" spans="1:8" x14ac:dyDescent="0.35">
      <c r="A39" s="8">
        <v>32</v>
      </c>
      <c r="B39" s="9" t="s">
        <v>28</v>
      </c>
      <c r="C39" s="9" t="s">
        <v>65</v>
      </c>
      <c r="D39" s="9"/>
      <c r="E39" s="10" t="s">
        <v>19</v>
      </c>
      <c r="F39" s="11"/>
      <c r="G39" s="11"/>
      <c r="H39" s="12"/>
    </row>
    <row r="40" spans="1:8" x14ac:dyDescent="0.35">
      <c r="A40" s="8">
        <v>33</v>
      </c>
      <c r="B40" s="9" t="s">
        <v>28</v>
      </c>
      <c r="C40" s="9" t="s">
        <v>66</v>
      </c>
      <c r="D40" s="9" t="s">
        <v>67</v>
      </c>
      <c r="E40" s="10" t="s">
        <v>19</v>
      </c>
      <c r="F40" s="11"/>
      <c r="G40" s="11"/>
      <c r="H40" s="12"/>
    </row>
    <row r="41" spans="1:8" x14ac:dyDescent="0.35">
      <c r="A41" s="8">
        <v>34</v>
      </c>
      <c r="B41" s="9" t="s">
        <v>28</v>
      </c>
      <c r="C41" s="9" t="s">
        <v>68</v>
      </c>
      <c r="D41" s="9"/>
      <c r="E41" s="10" t="s">
        <v>19</v>
      </c>
      <c r="F41" s="11"/>
      <c r="G41" s="11"/>
      <c r="H41" s="12"/>
    </row>
    <row r="42" spans="1:8" ht="25" x14ac:dyDescent="0.35">
      <c r="A42" s="8">
        <v>35</v>
      </c>
      <c r="B42" s="9" t="s">
        <v>30</v>
      </c>
      <c r="C42" s="9" t="s">
        <v>69</v>
      </c>
      <c r="D42" s="9" t="s">
        <v>70</v>
      </c>
      <c r="E42" s="10" t="s">
        <v>19</v>
      </c>
      <c r="F42" s="11"/>
      <c r="G42" s="11"/>
      <c r="H42" s="12"/>
    </row>
    <row r="43" spans="1:8" x14ac:dyDescent="0.35">
      <c r="A43" s="8">
        <v>36</v>
      </c>
      <c r="B43" s="9" t="s">
        <v>30</v>
      </c>
      <c r="C43" s="9" t="s">
        <v>71</v>
      </c>
      <c r="D43" s="9"/>
      <c r="E43" s="10" t="s">
        <v>19</v>
      </c>
      <c r="F43" s="11"/>
      <c r="G43" s="11"/>
      <c r="H43" s="12"/>
    </row>
    <row r="44" spans="1:8" x14ac:dyDescent="0.35">
      <c r="A44" s="8">
        <v>37</v>
      </c>
      <c r="B44" s="9" t="s">
        <v>30</v>
      </c>
      <c r="C44" s="9" t="s">
        <v>72</v>
      </c>
      <c r="D44" s="9" t="s">
        <v>73</v>
      </c>
      <c r="E44" s="10" t="s">
        <v>19</v>
      </c>
      <c r="F44" s="11"/>
      <c r="G44" s="11"/>
      <c r="H44" s="12"/>
    </row>
    <row r="45" spans="1:8" x14ac:dyDescent="0.35">
      <c r="A45" s="8">
        <v>38</v>
      </c>
      <c r="B45" s="9" t="s">
        <v>30</v>
      </c>
      <c r="C45" s="9" t="s">
        <v>74</v>
      </c>
      <c r="D45" s="9" t="s">
        <v>75</v>
      </c>
      <c r="E45" s="10" t="s">
        <v>19</v>
      </c>
      <c r="F45" s="11"/>
      <c r="G45" s="11"/>
      <c r="H45" s="12"/>
    </row>
    <row r="46" spans="1:8" x14ac:dyDescent="0.35">
      <c r="A46" s="8">
        <v>39</v>
      </c>
      <c r="B46" s="9" t="s">
        <v>30</v>
      </c>
      <c r="C46" s="9" t="s">
        <v>76</v>
      </c>
      <c r="D46" s="9"/>
      <c r="E46" s="10" t="s">
        <v>19</v>
      </c>
      <c r="F46" s="11"/>
      <c r="G46" s="11"/>
      <c r="H46" s="12"/>
    </row>
    <row r="47" spans="1:8" x14ac:dyDescent="0.35">
      <c r="A47" s="8">
        <v>40</v>
      </c>
      <c r="B47" s="9" t="s">
        <v>30</v>
      </c>
      <c r="C47" s="9" t="s">
        <v>77</v>
      </c>
      <c r="D47" s="9"/>
      <c r="E47" s="10" t="s">
        <v>19</v>
      </c>
      <c r="F47" s="11"/>
      <c r="G47" s="11"/>
      <c r="H47" s="12"/>
    </row>
    <row r="48" spans="1:8" x14ac:dyDescent="0.35">
      <c r="A48" s="8">
        <v>41</v>
      </c>
      <c r="B48" s="9" t="s">
        <v>32</v>
      </c>
      <c r="C48" s="9" t="s">
        <v>78</v>
      </c>
      <c r="D48" s="9"/>
      <c r="E48" s="10" t="s">
        <v>19</v>
      </c>
      <c r="F48" s="11"/>
      <c r="G48" s="11"/>
      <c r="H48" s="12"/>
    </row>
    <row r="49" spans="1:8" x14ac:dyDescent="0.35">
      <c r="A49" s="8">
        <v>42</v>
      </c>
      <c r="B49" s="9" t="s">
        <v>32</v>
      </c>
      <c r="C49" s="9" t="s">
        <v>79</v>
      </c>
      <c r="D49" s="9"/>
      <c r="E49" s="10" t="s">
        <v>19</v>
      </c>
      <c r="F49" s="11"/>
      <c r="G49" s="11"/>
      <c r="H49" s="12"/>
    </row>
    <row r="50" spans="1:8" x14ac:dyDescent="0.35">
      <c r="A50" s="8">
        <v>43</v>
      </c>
      <c r="B50" s="9" t="s">
        <v>32</v>
      </c>
      <c r="C50" s="9" t="s">
        <v>80</v>
      </c>
      <c r="D50" s="9"/>
      <c r="E50" s="10" t="s">
        <v>19</v>
      </c>
      <c r="F50" s="11"/>
      <c r="G50" s="11"/>
      <c r="H50" s="12"/>
    </row>
    <row r="51" spans="1:8" x14ac:dyDescent="0.35">
      <c r="A51" s="8">
        <v>44</v>
      </c>
      <c r="B51" s="9" t="s">
        <v>32</v>
      </c>
      <c r="C51" s="9" t="s">
        <v>81</v>
      </c>
      <c r="D51" s="9" t="s">
        <v>82</v>
      </c>
      <c r="E51" s="10" t="s">
        <v>19</v>
      </c>
      <c r="F51" s="11"/>
      <c r="G51" s="11"/>
      <c r="H51" s="12"/>
    </row>
    <row r="52" spans="1:8" x14ac:dyDescent="0.35">
      <c r="A52" s="8">
        <v>45</v>
      </c>
      <c r="B52" s="9" t="s">
        <v>32</v>
      </c>
      <c r="C52" s="9" t="s">
        <v>83</v>
      </c>
      <c r="D52" s="9"/>
      <c r="E52" s="10" t="s">
        <v>19</v>
      </c>
      <c r="F52" s="11"/>
      <c r="G52" s="11"/>
      <c r="H52" s="12"/>
    </row>
    <row r="53" spans="1:8" x14ac:dyDescent="0.35">
      <c r="A53" s="8">
        <v>46</v>
      </c>
      <c r="B53" s="9" t="s">
        <v>35</v>
      </c>
      <c r="C53" s="9" t="s">
        <v>84</v>
      </c>
      <c r="D53" s="9"/>
      <c r="E53" s="10" t="s">
        <v>114</v>
      </c>
      <c r="F53" s="11"/>
      <c r="G53" s="11"/>
      <c r="H53" s="12"/>
    </row>
    <row r="54" spans="1:8" x14ac:dyDescent="0.35">
      <c r="A54" s="8">
        <v>47</v>
      </c>
      <c r="B54" s="9" t="s">
        <v>35</v>
      </c>
      <c r="C54" s="9" t="s">
        <v>85</v>
      </c>
      <c r="D54" s="9"/>
      <c r="E54" s="10" t="s">
        <v>114</v>
      </c>
      <c r="F54" s="11"/>
      <c r="G54" s="11"/>
      <c r="H54" s="12"/>
    </row>
    <row r="55" spans="1:8" x14ac:dyDescent="0.35">
      <c r="A55" s="8">
        <v>48</v>
      </c>
      <c r="B55" s="9" t="s">
        <v>35</v>
      </c>
      <c r="C55" s="9" t="s">
        <v>86</v>
      </c>
      <c r="D55" s="9"/>
      <c r="E55" s="10" t="s">
        <v>114</v>
      </c>
      <c r="F55" s="11"/>
      <c r="G55" s="11"/>
      <c r="H55" s="12"/>
    </row>
    <row r="56" spans="1:8" x14ac:dyDescent="0.35">
      <c r="A56" s="8">
        <v>49</v>
      </c>
      <c r="B56" s="9" t="s">
        <v>35</v>
      </c>
      <c r="C56" s="9" t="s">
        <v>87</v>
      </c>
      <c r="D56" s="9"/>
      <c r="E56" s="10" t="s">
        <v>114</v>
      </c>
      <c r="F56" s="11"/>
      <c r="G56" s="11"/>
      <c r="H56" s="12"/>
    </row>
    <row r="57" spans="1:8" x14ac:dyDescent="0.35">
      <c r="A57" s="8">
        <v>50</v>
      </c>
      <c r="B57" s="9" t="s">
        <v>35</v>
      </c>
      <c r="C57" s="9" t="s">
        <v>88</v>
      </c>
      <c r="D57" s="9"/>
      <c r="E57" s="10" t="s">
        <v>19</v>
      </c>
      <c r="F57" s="11"/>
      <c r="G57" s="11"/>
      <c r="H57" s="12"/>
    </row>
    <row r="58" spans="1:8" x14ac:dyDescent="0.35">
      <c r="A58" s="8">
        <v>51</v>
      </c>
      <c r="B58" s="9" t="s">
        <v>38</v>
      </c>
      <c r="C58" s="9" t="s">
        <v>89</v>
      </c>
      <c r="D58" s="9"/>
      <c r="E58" s="10" t="s">
        <v>19</v>
      </c>
      <c r="F58" s="11"/>
      <c r="G58" s="11"/>
      <c r="H58" s="12"/>
    </row>
    <row r="59" spans="1:8" x14ac:dyDescent="0.35">
      <c r="A59" s="8">
        <v>52</v>
      </c>
      <c r="B59" s="9" t="s">
        <v>38</v>
      </c>
      <c r="C59" s="9" t="s">
        <v>90</v>
      </c>
      <c r="D59" s="9"/>
      <c r="E59" s="10" t="s">
        <v>19</v>
      </c>
      <c r="F59" s="11"/>
      <c r="G59" s="11"/>
      <c r="H59" s="12"/>
    </row>
    <row r="60" spans="1:8" x14ac:dyDescent="0.35">
      <c r="A60" s="8">
        <v>53</v>
      </c>
      <c r="B60" s="9" t="s">
        <v>38</v>
      </c>
      <c r="C60" s="9" t="s">
        <v>91</v>
      </c>
      <c r="D60" s="9"/>
      <c r="E60" s="10" t="s">
        <v>19</v>
      </c>
      <c r="F60" s="11"/>
      <c r="G60" s="11"/>
      <c r="H60" s="12"/>
    </row>
    <row r="61" spans="1:8" x14ac:dyDescent="0.35">
      <c r="A61" s="8">
        <v>54</v>
      </c>
      <c r="B61" s="9" t="s">
        <v>38</v>
      </c>
      <c r="C61" s="9" t="s">
        <v>92</v>
      </c>
      <c r="D61" s="9"/>
      <c r="E61" s="10" t="s">
        <v>19</v>
      </c>
      <c r="F61" s="11"/>
      <c r="G61" s="11"/>
      <c r="H61" s="12"/>
    </row>
  </sheetData>
  <autoFilter ref="A7:H61" xr:uid="{00000000-0009-0000-0000-000000000000}"/>
  <conditionalFormatting sqref="A8:H61">
    <cfRule type="expression" dxfId="4" priority="3">
      <formula>$E8="✔ Feito"</formula>
    </cfRule>
    <cfRule type="expression" dxfId="3" priority="4">
      <formula>$E8="Não se aplica"</formula>
    </cfRule>
  </conditionalFormatting>
  <conditionalFormatting sqref="B5">
    <cfRule type="dataBar" priority="2">
      <dataBar>
        <cfvo type="num" val="0"/>
        <cfvo type="num" val="1"/>
        <color rgb="FF9A6B1F"/>
      </dataBar>
      <extLst>
        <ext xmlns:x14="http://schemas.microsoft.com/office/spreadsheetml/2009/9/main" uri="{B025F937-C7B1-47D3-B67F-A62EFF666E3E}">
          <x14:id>{35D48E22-C646-47B9-B856-D748AA1CDD70}</x14:id>
        </ext>
      </extLst>
    </cfRule>
  </conditionalFormatting>
  <conditionalFormatting sqref="E8:E61">
    <cfRule type="expression" dxfId="2" priority="5">
      <formula>$E8="Em andamento"</formula>
    </cfRule>
  </conditionalFormatting>
  <conditionalFormatting sqref="G8:G61">
    <cfRule type="expression" dxfId="1" priority="6">
      <formula>AND($G8&lt;&gt;"",$G8&lt;TODAY(),$E8&lt;&gt;"✔ Feito")</formula>
    </cfRule>
  </conditionalFormatting>
  <conditionalFormatting sqref="M8:M16">
    <cfRule type="dataBar" priority="7">
      <dataBar>
        <cfvo type="num" val="0"/>
        <cfvo type="num" val="1"/>
        <color rgb="FF1F5C4A"/>
      </dataBar>
      <extLst>
        <ext xmlns:x14="http://schemas.microsoft.com/office/spreadsheetml/2009/9/main" uri="{B025F937-C7B1-47D3-B67F-A62EFF666E3E}">
          <x14:id>{10F33FFE-C770-423E-ABCD-A14388B9DB2D}</x14:id>
        </ext>
      </extLst>
    </cfRule>
  </conditionalFormatting>
  <dataValidations count="1">
    <dataValidation type="list" sqref="E8:E61" xr:uid="{00000000-0002-0000-0000-000000000000}">
      <formula1>"Pendente,Em andamento,✔ Feito,Não se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48E22-C646-47B9-B856-D748AA1CDD7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9A6B1F"/>
            </x14:dataBar>
          </x14:cfRule>
          <xm:sqref>B5</xm:sqref>
        </x14:conditionalFormatting>
        <x14:conditionalFormatting xmlns:xm="http://schemas.microsoft.com/office/excel/2006/main">
          <x14:cfRule type="dataBar" id="{10F33FFE-C770-423E-ABCD-A14388B9DB2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F5C4A"/>
            </x14:dataBar>
          </x14:cfRule>
          <xm:sqref>M8:M16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tabSelected="1" zoomScaleNormal="100" workbookViewId="0">
      <selection activeCell="C7" sqref="C7"/>
    </sheetView>
  </sheetViews>
  <sheetFormatPr defaultColWidth="8.6328125" defaultRowHeight="14.5" x14ac:dyDescent="0.35"/>
  <cols>
    <col min="1" max="1" width="12" customWidth="1"/>
    <col min="2" max="2" width="52" customWidth="1"/>
    <col min="3" max="3" width="15" customWidth="1"/>
    <col min="4" max="4" width="16" customWidth="1"/>
  </cols>
  <sheetData>
    <row r="1" spans="1:4" ht="18" x14ac:dyDescent="0.4">
      <c r="A1" s="1" t="s">
        <v>93</v>
      </c>
    </row>
    <row r="2" spans="1:4" x14ac:dyDescent="0.35">
      <c r="A2" s="2" t="s">
        <v>94</v>
      </c>
    </row>
    <row r="4" spans="1:4" ht="31.5" customHeight="1" x14ac:dyDescent="0.35">
      <c r="A4" s="6" t="s">
        <v>95</v>
      </c>
      <c r="B4" s="6" t="s">
        <v>96</v>
      </c>
      <c r="C4" s="6" t="s">
        <v>8</v>
      </c>
      <c r="D4" s="6" t="s">
        <v>9</v>
      </c>
    </row>
    <row r="5" spans="1:4" x14ac:dyDescent="0.35">
      <c r="A5" s="9" t="s">
        <v>97</v>
      </c>
      <c r="B5" s="9" t="s">
        <v>98</v>
      </c>
      <c r="C5" s="10" t="s">
        <v>114</v>
      </c>
      <c r="D5" s="11"/>
    </row>
    <row r="6" spans="1:4" x14ac:dyDescent="0.35">
      <c r="A6" s="9" t="s">
        <v>97</v>
      </c>
      <c r="B6" s="9" t="s">
        <v>99</v>
      </c>
      <c r="C6" s="10" t="s">
        <v>19</v>
      </c>
      <c r="D6" s="11"/>
    </row>
    <row r="7" spans="1:4" x14ac:dyDescent="0.35">
      <c r="A7" s="9" t="s">
        <v>97</v>
      </c>
      <c r="B7" s="9" t="s">
        <v>100</v>
      </c>
      <c r="C7" s="10" t="s">
        <v>19</v>
      </c>
      <c r="D7" s="11"/>
    </row>
    <row r="8" spans="1:4" x14ac:dyDescent="0.35">
      <c r="A8" s="9" t="s">
        <v>97</v>
      </c>
      <c r="B8" s="9" t="s">
        <v>101</v>
      </c>
      <c r="C8" s="10" t="s">
        <v>19</v>
      </c>
      <c r="D8" s="11"/>
    </row>
    <row r="9" spans="1:4" x14ac:dyDescent="0.35">
      <c r="A9" s="9" t="s">
        <v>102</v>
      </c>
      <c r="B9" s="9" t="s">
        <v>103</v>
      </c>
      <c r="C9" s="10" t="s">
        <v>19</v>
      </c>
      <c r="D9" s="11"/>
    </row>
    <row r="10" spans="1:4" x14ac:dyDescent="0.35">
      <c r="A10" s="9" t="s">
        <v>102</v>
      </c>
      <c r="B10" s="9" t="s">
        <v>104</v>
      </c>
      <c r="C10" s="10" t="s">
        <v>19</v>
      </c>
      <c r="D10" s="11"/>
    </row>
    <row r="11" spans="1:4" x14ac:dyDescent="0.35">
      <c r="A11" s="9" t="s">
        <v>102</v>
      </c>
      <c r="B11" s="9" t="s">
        <v>105</v>
      </c>
      <c r="C11" s="10" t="s">
        <v>19</v>
      </c>
      <c r="D11" s="11"/>
    </row>
    <row r="12" spans="1:4" x14ac:dyDescent="0.35">
      <c r="A12" s="9" t="s">
        <v>106</v>
      </c>
      <c r="B12" s="9" t="s">
        <v>107</v>
      </c>
      <c r="C12" s="10" t="s">
        <v>19</v>
      </c>
      <c r="D12" s="11"/>
    </row>
    <row r="13" spans="1:4" x14ac:dyDescent="0.35">
      <c r="A13" s="9" t="s">
        <v>106</v>
      </c>
      <c r="B13" s="9" t="s">
        <v>108</v>
      </c>
      <c r="C13" s="10" t="s">
        <v>19</v>
      </c>
      <c r="D13" s="11"/>
    </row>
    <row r="14" spans="1:4" x14ac:dyDescent="0.35">
      <c r="A14" s="9" t="s">
        <v>106</v>
      </c>
      <c r="B14" s="9" t="s">
        <v>109</v>
      </c>
      <c r="C14" s="10" t="s">
        <v>19</v>
      </c>
      <c r="D14" s="11"/>
    </row>
    <row r="15" spans="1:4" x14ac:dyDescent="0.35">
      <c r="A15" s="9" t="s">
        <v>110</v>
      </c>
      <c r="B15" s="9" t="s">
        <v>111</v>
      </c>
      <c r="C15" s="10" t="s">
        <v>19</v>
      </c>
      <c r="D15" s="11"/>
    </row>
    <row r="16" spans="1:4" x14ac:dyDescent="0.35">
      <c r="A16" s="9" t="s">
        <v>110</v>
      </c>
      <c r="B16" s="9" t="s">
        <v>112</v>
      </c>
      <c r="C16" s="10" t="s">
        <v>19</v>
      </c>
      <c r="D16" s="11"/>
    </row>
    <row r="17" spans="1:4" x14ac:dyDescent="0.35">
      <c r="A17" s="9" t="s">
        <v>110</v>
      </c>
      <c r="B17" s="9" t="s">
        <v>113</v>
      </c>
      <c r="C17" s="10" t="s">
        <v>19</v>
      </c>
      <c r="D17" s="11"/>
    </row>
    <row r="19" spans="1:4" x14ac:dyDescent="0.35">
      <c r="A19" s="3" t="s">
        <v>2</v>
      </c>
      <c r="B19" s="15" t="str">
        <f>COUNTIF(C5:C17,"✔ Feito")&amp;" de "&amp;COUNTA(B5:B17)</f>
        <v>1 de 13</v>
      </c>
    </row>
  </sheetData>
  <conditionalFormatting sqref="A5:D17">
    <cfRule type="expression" dxfId="0" priority="2">
      <formula>$C5="✔ Feito"</formula>
    </cfRule>
  </conditionalFormatting>
  <dataValidations count="1">
    <dataValidation type="list" sqref="C5:C17" xr:uid="{00000000-0002-0000-0100-000000000000}">
      <formula1>"Pendente,Em andamento,✔ Feito"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Primeiros 30 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Jefferson Pizzio</cp:lastModifiedBy>
  <cp:revision>0</cp:revision>
  <dcterms:created xsi:type="dcterms:W3CDTF">2026-10-12T14:07:34Z</dcterms:created>
  <dcterms:modified xsi:type="dcterms:W3CDTF">2026-10-13T13:58:21Z</dcterms:modified>
  <dc:language>en-US</dc:language>
</cp:coreProperties>
</file>